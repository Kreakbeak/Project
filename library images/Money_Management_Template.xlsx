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esktop\PROJECT\library images\"/>
    </mc:Choice>
  </mc:AlternateContent>
  <xr:revisionPtr revIDLastSave="0" documentId="13_ncr:1_{EDAA6551-5165-478D-92BF-EFA61C4A27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ey Managemen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J9" i="1"/>
  <c r="D14" i="1"/>
  <c r="D13" i="1"/>
  <c r="E7" i="1"/>
  <c r="D9" i="1"/>
  <c r="D8" i="1"/>
  <c r="N23" i="1"/>
  <c r="M23" i="1" s="1"/>
  <c r="N21" i="1"/>
  <c r="M21" i="1" s="1"/>
  <c r="N22" i="1"/>
  <c r="M22" i="1" s="1"/>
  <c r="N17" i="1"/>
  <c r="N16" i="1"/>
  <c r="N15" i="1"/>
</calcChain>
</file>

<file path=xl/sharedStrings.xml><?xml version="1.0" encoding="utf-8"?>
<sst xmlns="http://schemas.openxmlformats.org/spreadsheetml/2006/main" count="31" uniqueCount="21">
  <si>
    <t>Day</t>
  </si>
  <si>
    <t>Income</t>
  </si>
  <si>
    <t>Details</t>
  </si>
  <si>
    <t>Type</t>
  </si>
  <si>
    <t>Salary for Feb</t>
  </si>
  <si>
    <t>Total Expenses</t>
  </si>
  <si>
    <t>Remaining</t>
  </si>
  <si>
    <t>Goals</t>
  </si>
  <si>
    <t>Needs</t>
  </si>
  <si>
    <t>50%</t>
  </si>
  <si>
    <t>Wants</t>
  </si>
  <si>
    <t>25%</t>
  </si>
  <si>
    <t>Savings</t>
  </si>
  <si>
    <t>Actual</t>
  </si>
  <si>
    <t>Food outside futsal</t>
  </si>
  <si>
    <t>Food stalls</t>
  </si>
  <si>
    <t>Patan with ishan and shivika</t>
  </si>
  <si>
    <t>expenses</t>
  </si>
  <si>
    <t>Food and bakery</t>
  </si>
  <si>
    <t>hangout</t>
  </si>
  <si>
    <t>food and binding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</si>
</sst>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3" fillId="4" borderId="1" xfId="3" applyFill="1" applyBorder="1"/>
    <xf numFmtId="0" fontId="3" fillId="3" borderId="1" xfId="3" applyBorder="1"/>
    <xf numFmtId="0" fontId="4" fillId="0" borderId="1" xfId="0" applyFont="1" applyBorder="1"/>
    <xf numFmtId="4" fontId="3" fillId="3" borderId="1" xfId="3" applyNumberFormat="1" applyBorder="1"/>
    <xf numFmtId="0" fontId="2" fillId="2" borderId="1" xfId="2" applyBorder="1"/>
    <xf numFmtId="0" fontId="0" fillId="5" borderId="1" xfId="0" applyFill="1" applyBorder="1"/>
    <xf numFmtId="9" fontId="0" fillId="0" borderId="0" xfId="1" applyFont="1"/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N32"/>
  <sheetViews>
    <sheetView tabSelected="1" workbookViewId="0">
      <selection activeCell="D16" sqref="D16"/>
    </sheetView>
  </sheetViews>
  <sheetFormatPr defaultRowHeight="15" x14ac:dyDescent="0.25"/>
  <cols>
    <col min="2" max="2" width="16.28515625" customWidth="1"/>
    <col min="3" max="3" width="9.5703125" customWidth="1"/>
    <col min="4" max="4" width="19.85546875" customWidth="1"/>
    <col min="5" max="5" width="17" customWidth="1"/>
    <col min="6" max="6" width="26.85546875" customWidth="1"/>
    <col min="8" max="8" width="13.5703125" customWidth="1"/>
    <col min="9" max="9" width="17.28515625" customWidth="1"/>
    <col min="10" max="10" width="10.85546875" customWidth="1"/>
    <col min="12" max="12" width="14.28515625" bestFit="1" customWidth="1"/>
    <col min="13" max="13" width="13.7109375" style="8" customWidth="1"/>
    <col min="14" max="14" width="12.140625" customWidth="1"/>
  </cols>
  <sheetData>
    <row r="4" spans="3:14" x14ac:dyDescent="0.25">
      <c r="C4" s="1" t="s">
        <v>0</v>
      </c>
      <c r="D4" s="2" t="s">
        <v>17</v>
      </c>
      <c r="E4" s="7" t="s">
        <v>1</v>
      </c>
      <c r="F4" s="1" t="s">
        <v>2</v>
      </c>
      <c r="G4" s="1"/>
      <c r="H4" s="1" t="s">
        <v>3</v>
      </c>
      <c r="I4" t="s">
        <v>4</v>
      </c>
      <c r="J4">
        <v>16700</v>
      </c>
    </row>
    <row r="5" spans="3:14" x14ac:dyDescent="0.25">
      <c r="C5" s="1">
        <v>1</v>
      </c>
      <c r="D5" s="3"/>
      <c r="E5" s="6"/>
      <c r="F5" s="1"/>
      <c r="G5" s="1"/>
      <c r="H5" s="1"/>
    </row>
    <row r="6" spans="3:14" x14ac:dyDescent="0.25">
      <c r="C6" s="1">
        <v>2</v>
      </c>
      <c r="D6" s="3"/>
      <c r="E6" s="6"/>
      <c r="F6" s="1"/>
      <c r="G6" s="1"/>
      <c r="H6" s="1"/>
    </row>
    <row r="7" spans="3:14" x14ac:dyDescent="0.25">
      <c r="C7" s="1">
        <v>3</v>
      </c>
      <c r="D7" s="5">
        <v>240</v>
      </c>
      <c r="E7" s="6">
        <f>J4</f>
        <v>16700</v>
      </c>
      <c r="F7" s="4" t="s">
        <v>14</v>
      </c>
      <c r="G7" s="1"/>
      <c r="H7" s="1" t="s">
        <v>10</v>
      </c>
      <c r="I7" t="s">
        <v>5</v>
      </c>
      <c r="J7">
        <f>SUM(D5:D32)</f>
        <v>6199</v>
      </c>
    </row>
    <row r="8" spans="3:14" x14ac:dyDescent="0.25">
      <c r="C8" s="1">
        <v>4</v>
      </c>
      <c r="D8" s="5">
        <f>430</f>
        <v>430</v>
      </c>
      <c r="E8" s="6"/>
      <c r="F8" s="4" t="s">
        <v>15</v>
      </c>
      <c r="G8" s="1"/>
      <c r="H8" s="1" t="s">
        <v>10</v>
      </c>
    </row>
    <row r="9" spans="3:14" x14ac:dyDescent="0.25">
      <c r="C9" s="1">
        <v>5</v>
      </c>
      <c r="D9" s="5">
        <f>850+355</f>
        <v>1205</v>
      </c>
      <c r="E9" s="6"/>
      <c r="F9" s="4" t="s">
        <v>16</v>
      </c>
      <c r="G9" s="1"/>
      <c r="H9" s="1" t="s">
        <v>10</v>
      </c>
      <c r="I9" t="s">
        <v>6</v>
      </c>
      <c r="J9">
        <f>J4-J7</f>
        <v>10501</v>
      </c>
    </row>
    <row r="10" spans="3:14" x14ac:dyDescent="0.25">
      <c r="C10" s="1">
        <v>6</v>
      </c>
      <c r="D10" s="3"/>
      <c r="E10" s="6"/>
      <c r="F10" s="1"/>
      <c r="G10" s="1"/>
      <c r="H10" s="1"/>
    </row>
    <row r="11" spans="3:14" x14ac:dyDescent="0.25">
      <c r="C11" s="1">
        <v>7</v>
      </c>
      <c r="D11" s="3"/>
      <c r="E11" s="6"/>
      <c r="F11" s="1"/>
      <c r="G11" s="1"/>
      <c r="H11" s="1"/>
    </row>
    <row r="12" spans="3:14" x14ac:dyDescent="0.25">
      <c r="C12" s="1">
        <v>8</v>
      </c>
      <c r="D12" s="3"/>
      <c r="E12" s="6"/>
      <c r="F12" s="1"/>
      <c r="G12" s="1"/>
      <c r="H12" s="1"/>
    </row>
    <row r="13" spans="3:14" x14ac:dyDescent="0.25">
      <c r="C13" s="1">
        <v>9</v>
      </c>
      <c r="D13" s="3">
        <f>2639+475</f>
        <v>3114</v>
      </c>
      <c r="E13" s="6"/>
      <c r="F13" s="1" t="s">
        <v>18</v>
      </c>
      <c r="G13" s="1"/>
      <c r="H13" s="1" t="s">
        <v>10</v>
      </c>
    </row>
    <row r="14" spans="3:14" x14ac:dyDescent="0.25">
      <c r="C14" s="1">
        <v>10</v>
      </c>
      <c r="D14" s="3">
        <f>100 +80</f>
        <v>180</v>
      </c>
      <c r="E14" s="6"/>
      <c r="F14" s="1" t="s">
        <v>20</v>
      </c>
      <c r="G14" s="1"/>
      <c r="H14" s="1" t="s">
        <v>8</v>
      </c>
      <c r="L14" t="s">
        <v>7</v>
      </c>
    </row>
    <row r="15" spans="3:14" x14ac:dyDescent="0.25">
      <c r="C15" s="1">
        <v>11</v>
      </c>
      <c r="D15" s="3">
        <v>1030</v>
      </c>
      <c r="E15" s="6"/>
      <c r="F15" s="1" t="s">
        <v>19</v>
      </c>
      <c r="G15" s="1"/>
      <c r="H15" s="1" t="s">
        <v>10</v>
      </c>
      <c r="L15" t="s">
        <v>8</v>
      </c>
      <c r="M15" s="8" t="s">
        <v>9</v>
      </c>
      <c r="N15">
        <f>J4*0.5</f>
        <v>8350</v>
      </c>
    </row>
    <row r="16" spans="3:14" x14ac:dyDescent="0.25">
      <c r="C16" s="1">
        <v>12</v>
      </c>
      <c r="D16" s="3"/>
      <c r="E16" s="6"/>
      <c r="F16" s="1"/>
      <c r="G16" s="1"/>
      <c r="H16" s="1"/>
      <c r="L16" t="s">
        <v>10</v>
      </c>
      <c r="M16" s="8" t="s">
        <v>11</v>
      </c>
      <c r="N16">
        <f>J4*0.25</f>
        <v>4175</v>
      </c>
    </row>
    <row r="17" spans="3:14" x14ac:dyDescent="0.25">
      <c r="C17" s="1">
        <v>13</v>
      </c>
      <c r="D17" s="3"/>
      <c r="E17" s="6"/>
      <c r="F17" s="1"/>
      <c r="G17" s="1"/>
      <c r="H17" s="1"/>
      <c r="L17" t="s">
        <v>12</v>
      </c>
      <c r="M17" s="8" t="s">
        <v>11</v>
      </c>
      <c r="N17">
        <f>J4*0.25</f>
        <v>4175</v>
      </c>
    </row>
    <row r="18" spans="3:14" x14ac:dyDescent="0.25">
      <c r="C18" s="1">
        <v>14</v>
      </c>
      <c r="D18" s="3"/>
      <c r="E18" s="6"/>
      <c r="F18" s="1"/>
      <c r="G18" s="1"/>
      <c r="H18" s="1"/>
    </row>
    <row r="19" spans="3:14" x14ac:dyDescent="0.25">
      <c r="C19" s="1">
        <v>15</v>
      </c>
      <c r="D19" s="3"/>
      <c r="E19" s="6"/>
      <c r="F19" s="1"/>
      <c r="G19" s="1"/>
      <c r="H19" s="1"/>
    </row>
    <row r="20" spans="3:14" x14ac:dyDescent="0.25">
      <c r="C20" s="1">
        <v>16</v>
      </c>
      <c r="D20" s="3"/>
      <c r="E20" s="6"/>
      <c r="F20" s="1"/>
      <c r="G20" s="1"/>
      <c r="H20" s="1"/>
      <c r="L20" t="s">
        <v>13</v>
      </c>
    </row>
    <row r="21" spans="3:14" x14ac:dyDescent="0.25">
      <c r="C21" s="1">
        <v>17</v>
      </c>
      <c r="D21" s="3"/>
      <c r="E21" s="6"/>
      <c r="F21" s="1"/>
      <c r="G21" s="1"/>
      <c r="H21" s="1"/>
      <c r="L21" t="s">
        <v>8</v>
      </c>
      <c r="M21" s="8">
        <f>N21/J4</f>
        <v>1.0778443113772455E-2</v>
      </c>
      <c r="N21">
        <f>SUMIF(H:H,"Needs",D:D)</f>
        <v>180</v>
      </c>
    </row>
    <row r="22" spans="3:14" x14ac:dyDescent="0.25">
      <c r="C22" s="1">
        <v>18</v>
      </c>
      <c r="D22" s="3"/>
      <c r="E22" s="6"/>
      <c r="F22" s="1"/>
      <c r="G22" s="1"/>
      <c r="H22" s="1"/>
      <c r="L22" t="s">
        <v>10</v>
      </c>
      <c r="M22" s="8">
        <f>N22/J4</f>
        <v>0.36041916167664673</v>
      </c>
      <c r="N22">
        <f>SUMIF(H:H,"Wants",D:D)</f>
        <v>6019</v>
      </c>
    </row>
    <row r="23" spans="3:14" x14ac:dyDescent="0.25">
      <c r="C23" s="1">
        <v>19</v>
      </c>
      <c r="D23" s="3"/>
      <c r="E23" s="6"/>
      <c r="F23" s="1"/>
      <c r="G23" s="1"/>
      <c r="H23" s="1"/>
      <c r="L23" t="s">
        <v>12</v>
      </c>
      <c r="M23" s="8">
        <f>N23/J4</f>
        <v>0</v>
      </c>
      <c r="N23">
        <f>SUMIF(H:H,"Savings",D:D)</f>
        <v>0</v>
      </c>
    </row>
    <row r="24" spans="3:14" x14ac:dyDescent="0.25">
      <c r="C24" s="1">
        <v>20</v>
      </c>
      <c r="D24" s="3"/>
      <c r="E24" s="6"/>
      <c r="F24" s="1"/>
      <c r="G24" s="1"/>
      <c r="H24" s="1"/>
    </row>
    <row r="25" spans="3:14" x14ac:dyDescent="0.25">
      <c r="C25" s="1">
        <v>21</v>
      </c>
      <c r="D25" s="3"/>
      <c r="E25" s="6"/>
      <c r="F25" s="1"/>
      <c r="G25" s="1"/>
      <c r="H25" s="1"/>
    </row>
    <row r="26" spans="3:14" x14ac:dyDescent="0.25">
      <c r="C26" s="1">
        <v>22</v>
      </c>
      <c r="D26" s="3"/>
      <c r="E26" s="6"/>
      <c r="F26" s="1"/>
      <c r="G26" s="1"/>
      <c r="H26" s="1"/>
    </row>
    <row r="27" spans="3:14" x14ac:dyDescent="0.25">
      <c r="C27" s="1">
        <v>23</v>
      </c>
      <c r="D27" s="3"/>
      <c r="E27" s="6"/>
      <c r="F27" s="1"/>
      <c r="G27" s="1"/>
      <c r="H27" s="1"/>
    </row>
    <row r="28" spans="3:14" x14ac:dyDescent="0.25">
      <c r="C28" s="1">
        <v>24</v>
      </c>
      <c r="D28" s="3"/>
      <c r="E28" s="6"/>
      <c r="F28" s="1"/>
      <c r="G28" s="1"/>
      <c r="H28" s="1"/>
    </row>
    <row r="29" spans="3:14" x14ac:dyDescent="0.25">
      <c r="C29" s="1">
        <v>25</v>
      </c>
      <c r="D29" s="3"/>
      <c r="E29" s="6"/>
      <c r="F29" s="1"/>
      <c r="G29" s="1"/>
      <c r="H29" s="1"/>
    </row>
    <row r="30" spans="3:14" x14ac:dyDescent="0.25">
      <c r="C30" s="1">
        <v>26</v>
      </c>
      <c r="D30" s="3"/>
      <c r="E30" s="6"/>
      <c r="F30" s="1"/>
      <c r="G30" s="1"/>
      <c r="H30" s="1"/>
    </row>
    <row r="31" spans="3:14" x14ac:dyDescent="0.25">
      <c r="C31" s="1">
        <v>27</v>
      </c>
      <c r="D31" s="3"/>
      <c r="E31" s="6"/>
      <c r="F31" s="1"/>
      <c r="G31" s="1"/>
      <c r="H31" s="1"/>
    </row>
    <row r="32" spans="3:14" x14ac:dyDescent="0.25">
      <c r="C32" s="1">
        <v>28</v>
      </c>
      <c r="D32" s="3"/>
      <c r="E32" s="6"/>
      <c r="F32" s="1"/>
      <c r="G32" s="1"/>
      <c r="H32" s="1"/>
    </row>
  </sheetData>
  <dataValidations count="1">
    <dataValidation type="list" allowBlank="1" showInputMessage="1" showErrorMessage="1" sqref="H6:H32" xr:uid="{E76F5398-3188-489F-A900-81DB5375EF68}">
      <formula1>$L$21:$L$24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4B6D-9E41-42BC-A22D-DADEF4EE9D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Money Management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Kritan Shrestha</cp:lastModifiedBy>
  <dcterms:created xsi:type="dcterms:W3CDTF">2026-02-07T06:24:00Z</dcterms:created>
  <dcterms:modified xsi:type="dcterms:W3CDTF">2026-02-12T11:14:11Z</dcterms:modified>
</cp:coreProperties>
</file>